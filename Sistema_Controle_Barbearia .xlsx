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uloWeverton\Desktop\"/>
    </mc:Choice>
  </mc:AlternateContent>
  <xr:revisionPtr revIDLastSave="0" documentId="8_{C85736DB-253E-4948-A64D-85168B36A42D}" xr6:coauthVersionLast="47" xr6:coauthVersionMax="47" xr10:uidLastSave="{00000000-0000-0000-0000-000000000000}"/>
  <bookViews>
    <workbookView xWindow="-25065" yWindow="3555" windowWidth="21600" windowHeight="11385" xr2:uid="{00000000-000D-0000-FFFF-FFFF00000000}"/>
  </bookViews>
  <sheets>
    <sheet name="Serviços" sheetId="1" r:id="rId1"/>
    <sheet name="Produtos" sheetId="2" r:id="rId2"/>
    <sheet name="Vendas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F6" i="2"/>
  <c r="G6" i="2" s="1"/>
  <c r="F5" i="2"/>
  <c r="G5" i="2" s="1"/>
  <c r="F4" i="2"/>
  <c r="G4" i="2" s="1"/>
  <c r="G3" i="2"/>
</calcChain>
</file>

<file path=xl/sharedStrings.xml><?xml version="1.0" encoding="utf-8"?>
<sst xmlns="http://schemas.openxmlformats.org/spreadsheetml/2006/main" count="52" uniqueCount="41">
  <si>
    <t>ID</t>
  </si>
  <si>
    <t>Nome do Serviço</t>
  </si>
  <si>
    <t>Preço (R$)</t>
  </si>
  <si>
    <t>Corte Social</t>
  </si>
  <si>
    <t>Barba Completa</t>
  </si>
  <si>
    <t>Combo (Corte + Barba)</t>
  </si>
  <si>
    <t>Acabamento / Pezinho</t>
  </si>
  <si>
    <t>Platinado / Nevou</t>
  </si>
  <si>
    <t>Nome do Produto</t>
  </si>
  <si>
    <t>Preço de Venda</t>
  </si>
  <si>
    <t>Preço de Custo</t>
  </si>
  <si>
    <t>Estoque Inicial</t>
  </si>
  <si>
    <t>Quantidade Vendida</t>
  </si>
  <si>
    <t>Estoque Atual</t>
  </si>
  <si>
    <t>Pomada Modeladora</t>
  </si>
  <si>
    <t>Cerveja Long Neck</t>
  </si>
  <si>
    <t>Refrigerante Lata</t>
  </si>
  <si>
    <t>Água Mineral</t>
  </si>
  <si>
    <t>Óleo para Barba</t>
  </si>
  <si>
    <t>Data e Hora</t>
  </si>
  <si>
    <t>Item</t>
  </si>
  <si>
    <t>Tipo</t>
  </si>
  <si>
    <t>Quantidade</t>
  </si>
  <si>
    <t>Valor Total</t>
  </si>
  <si>
    <t>Forma de Pagamento</t>
  </si>
  <si>
    <t>18/05/2026 14:30</t>
  </si>
  <si>
    <t>Serviço</t>
  </si>
  <si>
    <t>Pix</t>
  </si>
  <si>
    <t>18/05/2026 14:45</t>
  </si>
  <si>
    <t>Produto</t>
  </si>
  <si>
    <t>Dinheiro</t>
  </si>
  <si>
    <t>18/05/2026 15:15</t>
  </si>
  <si>
    <t>Cartão de Crédito</t>
  </si>
  <si>
    <t>18/05/2026 16:00</t>
  </si>
  <si>
    <t>18/05/2026 16:30</t>
  </si>
  <si>
    <t>DASHBOARD - FLUXO DA BARBEARIA</t>
  </si>
  <si>
    <t>Indicador</t>
  </si>
  <si>
    <t>Resultado</t>
  </si>
  <si>
    <t>Faturamento Total (R$)</t>
  </si>
  <si>
    <t>Total de Cortes/Serviços Realizados</t>
  </si>
  <si>
    <t>Total de Produtos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</si>
</sst>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5" x14ac:knownFonts="1">
    <font>
      <sz val="11"/>
      <color theme="1"/>
      <name val="Calibri"/>
      <family val="2"/>
      <scheme val="minor"/>
    </font>
    <font>
      <b/>
      <sz val="14"/>
      <color rgb="FF1B365D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/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1" max="1" width="12" customWidth="1"/>
    <col min="2" max="2" width="24" customWidth="1"/>
    <col min="3" max="3" width="13" customWidth="1"/>
  </cols>
  <sheetData>
    <row r="1" spans="1:3" ht="24" customHeight="1" x14ac:dyDescent="0.25">
      <c r="A1" s="1" t="s">
        <v>0</v>
      </c>
      <c r="B1" s="1" t="s">
        <v>1</v>
      </c>
      <c r="C1" s="1" t="s">
        <v>2</v>
      </c>
    </row>
    <row r="2" spans="1:3" ht="18" customHeight="1" x14ac:dyDescent="0.25">
      <c r="A2" s="2">
        <v>1</v>
      </c>
      <c r="B2" s="3" t="s">
        <v>3</v>
      </c>
      <c r="C2" s="4">
        <v>35</v>
      </c>
    </row>
    <row r="3" spans="1:3" ht="18" customHeight="1" x14ac:dyDescent="0.25">
      <c r="A3" s="5">
        <v>2</v>
      </c>
      <c r="B3" s="6" t="s">
        <v>4</v>
      </c>
      <c r="C3" s="7">
        <v>25</v>
      </c>
    </row>
    <row r="4" spans="1:3" ht="18" customHeight="1" x14ac:dyDescent="0.25">
      <c r="A4" s="2">
        <v>3</v>
      </c>
      <c r="B4" s="3" t="s">
        <v>5</v>
      </c>
      <c r="C4" s="4">
        <v>55</v>
      </c>
    </row>
    <row r="5" spans="1:3" ht="18" customHeight="1" x14ac:dyDescent="0.25">
      <c r="A5" s="5">
        <v>4</v>
      </c>
      <c r="B5" s="6" t="s">
        <v>6</v>
      </c>
      <c r="C5" s="7">
        <v>15</v>
      </c>
    </row>
    <row r="6" spans="1:3" ht="18" customHeight="1" x14ac:dyDescent="0.25">
      <c r="A6" s="2">
        <v>5</v>
      </c>
      <c r="B6" s="3" t="s">
        <v>7</v>
      </c>
      <c r="C6" s="4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selection activeCell="H2" sqref="H2"/>
    </sheetView>
  </sheetViews>
  <sheetFormatPr defaultRowHeight="15" x14ac:dyDescent="0.25"/>
  <cols>
    <col min="1" max="1" width="12" customWidth="1"/>
    <col min="2" max="2" width="20" customWidth="1"/>
    <col min="3" max="4" width="17" customWidth="1"/>
    <col min="5" max="5" width="18" customWidth="1"/>
    <col min="6" max="6" width="37" customWidth="1"/>
    <col min="7" max="7" width="16" customWidth="1"/>
  </cols>
  <sheetData>
    <row r="1" spans="1:7" ht="24" customHeight="1" x14ac:dyDescent="0.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ht="18" customHeight="1" x14ac:dyDescent="0.25">
      <c r="A2" s="2">
        <v>1</v>
      </c>
      <c r="B2" s="3" t="s">
        <v>14</v>
      </c>
      <c r="C2" s="4">
        <v>40</v>
      </c>
      <c r="D2" s="4">
        <v>20</v>
      </c>
      <c r="E2" s="8">
        <v>10</v>
      </c>
      <c r="F2" s="8">
        <v>0</v>
      </c>
      <c r="G2" s="8">
        <v>10</v>
      </c>
    </row>
    <row r="3" spans="1:7" ht="18" customHeight="1" x14ac:dyDescent="0.25">
      <c r="A3" s="5">
        <v>2</v>
      </c>
      <c r="B3" s="6" t="s">
        <v>15</v>
      </c>
      <c r="C3" s="7">
        <v>8</v>
      </c>
      <c r="D3" s="7">
        <v>4</v>
      </c>
      <c r="E3" s="9">
        <v>0</v>
      </c>
      <c r="F3" s="9">
        <v>0</v>
      </c>
      <c r="G3" s="9">
        <f>E3-F3</f>
        <v>0</v>
      </c>
    </row>
    <row r="4" spans="1:7" ht="18" customHeight="1" x14ac:dyDescent="0.25">
      <c r="A4" s="2">
        <v>3</v>
      </c>
      <c r="B4" s="3" t="s">
        <v>16</v>
      </c>
      <c r="C4" s="4">
        <v>5</v>
      </c>
      <c r="D4" s="4">
        <v>2.5</v>
      </c>
      <c r="E4" s="8">
        <v>0</v>
      </c>
      <c r="F4" s="8">
        <f>SUMIF(Vendas!B:B, B4, Vendas!D:D)</f>
        <v>0</v>
      </c>
      <c r="G4" s="8">
        <f>E4-F4</f>
        <v>0</v>
      </c>
    </row>
    <row r="5" spans="1:7" ht="18" customHeight="1" x14ac:dyDescent="0.25">
      <c r="A5" s="5">
        <v>4</v>
      </c>
      <c r="B5" s="6" t="s">
        <v>17</v>
      </c>
      <c r="C5" s="7">
        <v>3</v>
      </c>
      <c r="D5" s="7">
        <v>1</v>
      </c>
      <c r="E5" s="9">
        <v>10</v>
      </c>
      <c r="F5" s="9">
        <f>SUMIF(Vendas!B:B, B5, Vendas!D:D)</f>
        <v>0</v>
      </c>
      <c r="G5" s="9">
        <f>E5-F5</f>
        <v>10</v>
      </c>
    </row>
    <row r="6" spans="1:7" ht="18" customHeight="1" x14ac:dyDescent="0.25">
      <c r="A6" s="2">
        <v>5</v>
      </c>
      <c r="B6" s="3" t="s">
        <v>18</v>
      </c>
      <c r="C6" s="4">
        <v>35</v>
      </c>
      <c r="D6" s="4">
        <v>18</v>
      </c>
      <c r="E6" s="8">
        <v>0</v>
      </c>
      <c r="F6" s="8">
        <f>SUMIF(Vendas!B:B, B6, Vendas!D:D)</f>
        <v>0</v>
      </c>
      <c r="G6" s="8">
        <f>E6-F6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E6" sqref="E6"/>
    </sheetView>
  </sheetViews>
  <sheetFormatPr defaultRowHeight="15" x14ac:dyDescent="0.25"/>
  <cols>
    <col min="1" max="1" width="19" customWidth="1"/>
    <col min="2" max="2" width="24" customWidth="1"/>
    <col min="3" max="3" width="12" customWidth="1"/>
    <col min="4" max="4" width="13" customWidth="1"/>
    <col min="5" max="5" width="14" customWidth="1"/>
    <col min="6" max="6" width="21" customWidth="1"/>
  </cols>
  <sheetData>
    <row r="1" spans="1:6" ht="24" customHeight="1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 spans="1:6" ht="18" customHeight="1" x14ac:dyDescent="0.25">
      <c r="A2" s="2" t="s">
        <v>25</v>
      </c>
      <c r="B2" s="3" t="s">
        <v>3</v>
      </c>
      <c r="C2" s="2" t="s">
        <v>26</v>
      </c>
      <c r="D2" s="2">
        <v>0</v>
      </c>
      <c r="E2" s="4">
        <v>35</v>
      </c>
      <c r="F2" s="2" t="s">
        <v>27</v>
      </c>
    </row>
    <row r="3" spans="1:6" ht="18" customHeight="1" x14ac:dyDescent="0.25">
      <c r="A3" s="5" t="s">
        <v>28</v>
      </c>
      <c r="B3" s="6" t="s">
        <v>15</v>
      </c>
      <c r="C3" s="5" t="s">
        <v>29</v>
      </c>
      <c r="D3" s="5">
        <v>0</v>
      </c>
      <c r="E3" s="7">
        <v>16</v>
      </c>
      <c r="F3" s="5" t="s">
        <v>30</v>
      </c>
    </row>
    <row r="4" spans="1:6" ht="18" customHeight="1" x14ac:dyDescent="0.25">
      <c r="A4" s="2" t="s">
        <v>31</v>
      </c>
      <c r="B4" s="3" t="s">
        <v>5</v>
      </c>
      <c r="C4" s="2" t="s">
        <v>26</v>
      </c>
      <c r="D4" s="2">
        <v>0</v>
      </c>
      <c r="E4" s="4">
        <v>55</v>
      </c>
      <c r="F4" s="2" t="s">
        <v>32</v>
      </c>
    </row>
    <row r="5" spans="1:6" ht="18" customHeight="1" x14ac:dyDescent="0.25">
      <c r="A5" s="5" t="s">
        <v>33</v>
      </c>
      <c r="B5" s="6" t="s">
        <v>14</v>
      </c>
      <c r="C5" s="5" t="s">
        <v>29</v>
      </c>
      <c r="D5" s="5">
        <v>0</v>
      </c>
      <c r="E5" s="7">
        <v>40</v>
      </c>
      <c r="F5" s="5" t="s">
        <v>27</v>
      </c>
    </row>
    <row r="6" spans="1:6" ht="18" customHeight="1" x14ac:dyDescent="0.25">
      <c r="A6" s="2" t="s">
        <v>34</v>
      </c>
      <c r="B6" s="3" t="s">
        <v>4</v>
      </c>
      <c r="C6" s="2" t="s">
        <v>26</v>
      </c>
      <c r="D6" s="2">
        <v>0</v>
      </c>
      <c r="E6" s="4">
        <v>25</v>
      </c>
      <c r="F6" s="2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7"/>
  <sheetViews>
    <sheetView workbookViewId="0">
      <selection activeCell="D6" sqref="D6"/>
    </sheetView>
  </sheetViews>
  <sheetFormatPr defaultRowHeight="15" x14ac:dyDescent="0.25"/>
  <cols>
    <col min="1" max="1" width="3" customWidth="1"/>
    <col min="2" max="2" width="38" customWidth="1"/>
    <col min="3" max="3" width="18" customWidth="1"/>
  </cols>
  <sheetData>
    <row r="2" spans="2:3" ht="24.95" customHeight="1" x14ac:dyDescent="0.3">
      <c r="B2" s="10" t="s">
        <v>35</v>
      </c>
    </row>
    <row r="4" spans="2:3" ht="20.100000000000001" customHeight="1" x14ac:dyDescent="0.25">
      <c r="B4" s="11" t="s">
        <v>36</v>
      </c>
      <c r="C4" s="11" t="s">
        <v>37</v>
      </c>
    </row>
    <row r="5" spans="2:3" ht="20.100000000000001" customHeight="1" x14ac:dyDescent="0.25">
      <c r="B5" s="6" t="s">
        <v>38</v>
      </c>
      <c r="C5" s="12">
        <v>0</v>
      </c>
    </row>
    <row r="6" spans="2:3" ht="20.100000000000001" customHeight="1" x14ac:dyDescent="0.25">
      <c r="B6" s="6" t="s">
        <v>39</v>
      </c>
      <c r="C6" s="13">
        <v>0</v>
      </c>
    </row>
    <row r="7" spans="2:3" ht="20.100000000000001" customHeight="1" x14ac:dyDescent="0.25">
      <c r="B7" s="6" t="s">
        <v>40</v>
      </c>
      <c r="C7" s="13">
        <f>SUMIF(Vendas!C:C, "Produto", Vendas!D:D)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Serviços</vt:lpstr>
      <vt:lpstr>Produtos</vt:lpstr>
      <vt:lpstr>Vendas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Weverton Gomes de Almeida</cp:lastModifiedBy>
  <dcterms:created xsi:type="dcterms:W3CDTF">2026-05-19T01:42:37Z</dcterms:created>
  <dcterms:modified xsi:type="dcterms:W3CDTF">2026-05-19T02:22:19Z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2026-05-19T02:20:18Z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b61c86ec-c46e-4019-8896-a1c621a33993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