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ço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Venda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2" borderId="1" pivotButton="0" quotePrefix="0" xfId="0"/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</cols>
  <sheetData>
    <row r="1" ht="24" customHeight="1">
      <c r="A1" s="1" t="inlineStr">
        <is>
          <t>ID</t>
        </is>
      </c>
      <c r="B1" s="1" t="inlineStr">
        <is>
          <t>Nome do Serviço</t>
        </is>
      </c>
      <c r="C1" s="1" t="inlineStr">
        <is>
          <t>Preço (R$)</t>
        </is>
      </c>
    </row>
    <row r="2" ht="18" customHeight="1">
      <c r="A2" s="2" t="n">
        <v>1</v>
      </c>
      <c r="B2" s="3" t="inlineStr">
        <is>
          <t>Corte Social</t>
        </is>
      </c>
      <c r="C2" s="4" t="n">
        <v>35</v>
      </c>
    </row>
    <row r="3" ht="18" customHeight="1">
      <c r="A3" s="5" t="n">
        <v>2</v>
      </c>
      <c r="B3" s="6" t="inlineStr">
        <is>
          <t>Barba Completa</t>
        </is>
      </c>
      <c r="C3" s="7" t="n">
        <v>25</v>
      </c>
    </row>
    <row r="4" ht="18" customHeight="1">
      <c r="A4" s="2" t="n">
        <v>3</v>
      </c>
      <c r="B4" s="3" t="inlineStr">
        <is>
          <t>Combo (Corte + Barba)</t>
        </is>
      </c>
      <c r="C4" s="4" t="n">
        <v>55</v>
      </c>
    </row>
    <row r="5" ht="18" customHeight="1">
      <c r="A5" s="5" t="n">
        <v>4</v>
      </c>
      <c r="B5" s="6" t="inlineStr">
        <is>
          <t>Acabamento / Pezinho</t>
        </is>
      </c>
      <c r="C5" s="7" t="n">
        <v>15</v>
      </c>
    </row>
    <row r="6" ht="18" customHeight="1">
      <c r="A6" s="2" t="n">
        <v>5</v>
      </c>
      <c r="B6" s="3" t="inlineStr">
        <is>
          <t>Platinado / Nevou</t>
        </is>
      </c>
      <c r="C6" s="4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7" customWidth="1" min="4" max="4"/>
    <col width="18" customWidth="1" min="5" max="5"/>
    <col width="37" customWidth="1" min="6" max="6"/>
    <col width="16" customWidth="1" min="7" max="7"/>
  </cols>
  <sheetData>
    <row r="1" ht="24" customHeight="1">
      <c r="A1" s="1" t="inlineStr">
        <is>
          <t>ID</t>
        </is>
      </c>
      <c r="B1" s="1" t="inlineStr">
        <is>
          <t>Nome do Produto</t>
        </is>
      </c>
      <c r="C1" s="1" t="inlineStr">
        <is>
          <t>Preço de Venda</t>
        </is>
      </c>
      <c r="D1" s="1" t="inlineStr">
        <is>
          <t>Preço de Custo</t>
        </is>
      </c>
      <c r="E1" s="1" t="inlineStr">
        <is>
          <t>Estoque Inicial</t>
        </is>
      </c>
      <c r="F1" s="1" t="inlineStr">
        <is>
          <t>Quantidade Vendida</t>
        </is>
      </c>
      <c r="G1" s="1" t="inlineStr">
        <is>
          <t>Estoque Atual</t>
        </is>
      </c>
    </row>
    <row r="2" ht="18" customHeight="1">
      <c r="A2" s="2" t="n">
        <v>1</v>
      </c>
      <c r="B2" s="3" t="inlineStr">
        <is>
          <t>Pomada Modeladora</t>
        </is>
      </c>
      <c r="C2" s="4" t="n">
        <v>40</v>
      </c>
      <c r="D2" s="4" t="n">
        <v>20</v>
      </c>
      <c r="E2" s="8" t="n">
        <v>15</v>
      </c>
      <c r="F2" s="8">
        <f>SUMIF(Vendas!B:B, B2, Vendas!D:D)</f>
        <v/>
      </c>
      <c r="G2" s="8">
        <f>E2-F2</f>
        <v/>
      </c>
    </row>
    <row r="3" ht="18" customHeight="1">
      <c r="A3" s="5" t="n">
        <v>2</v>
      </c>
      <c r="B3" s="6" t="inlineStr">
        <is>
          <t>Cerveja Long Neck</t>
        </is>
      </c>
      <c r="C3" s="7" t="n">
        <v>8</v>
      </c>
      <c r="D3" s="7" t="n">
        <v>4</v>
      </c>
      <c r="E3" s="9" t="n">
        <v>48</v>
      </c>
      <c r="F3" s="9">
        <f>SUMIF(Vendas!B:B, B3, Vendas!D:D)</f>
        <v/>
      </c>
      <c r="G3" s="9">
        <f>E3-F3</f>
        <v/>
      </c>
    </row>
    <row r="4" ht="18" customHeight="1">
      <c r="A4" s="2" t="n">
        <v>3</v>
      </c>
      <c r="B4" s="3" t="inlineStr">
        <is>
          <t>Refrigerante Lata</t>
        </is>
      </c>
      <c r="C4" s="4" t="n">
        <v>5</v>
      </c>
      <c r="D4" s="4" t="n">
        <v>2.5</v>
      </c>
      <c r="E4" s="8" t="n">
        <v>24</v>
      </c>
      <c r="F4" s="8">
        <f>SUMIF(Vendas!B:B, B4, Vendas!D:D)</f>
        <v/>
      </c>
      <c r="G4" s="8">
        <f>E4-F4</f>
        <v/>
      </c>
    </row>
    <row r="5" ht="18" customHeight="1">
      <c r="A5" s="5" t="n">
        <v>4</v>
      </c>
      <c r="B5" s="6" t="inlineStr">
        <is>
          <t>Água Mineral</t>
        </is>
      </c>
      <c r="C5" s="7" t="n">
        <v>3</v>
      </c>
      <c r="D5" s="7" t="n">
        <v>1</v>
      </c>
      <c r="E5" s="9" t="n">
        <v>30</v>
      </c>
      <c r="F5" s="9">
        <f>SUMIF(Vendas!B:B, B5, Vendas!D:D)</f>
        <v/>
      </c>
      <c r="G5" s="9">
        <f>E5-F5</f>
        <v/>
      </c>
    </row>
    <row r="6" ht="18" customHeight="1">
      <c r="A6" s="2" t="n">
        <v>5</v>
      </c>
      <c r="B6" s="3" t="inlineStr">
        <is>
          <t>Óleo para Barba</t>
        </is>
      </c>
      <c r="C6" s="4" t="n">
        <v>35</v>
      </c>
      <c r="D6" s="4" t="n">
        <v>18</v>
      </c>
      <c r="E6" s="8" t="n">
        <v>10</v>
      </c>
      <c r="F6" s="8">
        <f>SUMIF(Vendas!B:B, B6, Vendas!D:D)</f>
        <v/>
      </c>
      <c r="G6" s="8">
        <f>E6-F6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2" customWidth="1" min="3" max="3"/>
    <col width="13" customWidth="1" min="4" max="4"/>
    <col width="14" customWidth="1" min="5" max="5"/>
    <col width="21" customWidth="1" min="6" max="6"/>
  </cols>
  <sheetData>
    <row r="1" ht="24" customHeight="1">
      <c r="A1" s="1" t="inlineStr">
        <is>
          <t>Data e Hora</t>
        </is>
      </c>
      <c r="B1" s="1" t="inlineStr">
        <is>
          <t>Item</t>
        </is>
      </c>
      <c r="C1" s="1" t="inlineStr">
        <is>
          <t>Tipo</t>
        </is>
      </c>
      <c r="D1" s="1" t="inlineStr">
        <is>
          <t>Quantidade</t>
        </is>
      </c>
      <c r="E1" s="1" t="inlineStr">
        <is>
          <t>Valor Total</t>
        </is>
      </c>
      <c r="F1" s="1" t="inlineStr">
        <is>
          <t>Forma de Pagamento</t>
        </is>
      </c>
    </row>
    <row r="2" ht="18" customHeight="1">
      <c r="A2" s="2" t="inlineStr">
        <is>
          <t>18/05/2026 14:30</t>
        </is>
      </c>
      <c r="B2" s="3" t="inlineStr">
        <is>
          <t>Corte Social</t>
        </is>
      </c>
      <c r="C2" s="2" t="inlineStr">
        <is>
          <t>Serviço</t>
        </is>
      </c>
      <c r="D2" s="2" t="n">
        <v>1</v>
      </c>
      <c r="E2" s="4" t="n">
        <v>35</v>
      </c>
      <c r="F2" s="2" t="inlineStr">
        <is>
          <t>Pix</t>
        </is>
      </c>
    </row>
    <row r="3" ht="18" customHeight="1">
      <c r="A3" s="5" t="inlineStr">
        <is>
          <t>18/05/2026 14:45</t>
        </is>
      </c>
      <c r="B3" s="6" t="inlineStr">
        <is>
          <t>Cerveja Long Neck</t>
        </is>
      </c>
      <c r="C3" s="5" t="inlineStr">
        <is>
          <t>Produto</t>
        </is>
      </c>
      <c r="D3" s="5" t="n">
        <v>2</v>
      </c>
      <c r="E3" s="7" t="n">
        <v>16</v>
      </c>
      <c r="F3" s="5" t="inlineStr">
        <is>
          <t>Dinheiro</t>
        </is>
      </c>
    </row>
    <row r="4" ht="18" customHeight="1">
      <c r="A4" s="2" t="inlineStr">
        <is>
          <t>18/05/2026 15:15</t>
        </is>
      </c>
      <c r="B4" s="3" t="inlineStr">
        <is>
          <t>Combo (Corte + Barba)</t>
        </is>
      </c>
      <c r="C4" s="2" t="inlineStr">
        <is>
          <t>Serviço</t>
        </is>
      </c>
      <c r="D4" s="2" t="n">
        <v>1</v>
      </c>
      <c r="E4" s="4" t="n">
        <v>55</v>
      </c>
      <c r="F4" s="2" t="inlineStr">
        <is>
          <t>Cartão de Crédito</t>
        </is>
      </c>
    </row>
    <row r="5" ht="18" customHeight="1">
      <c r="A5" s="5" t="inlineStr">
        <is>
          <t>18/05/2026 16:00</t>
        </is>
      </c>
      <c r="B5" s="6" t="inlineStr">
        <is>
          <t>Pomada Modeladora</t>
        </is>
      </c>
      <c r="C5" s="5" t="inlineStr">
        <is>
          <t>Produto</t>
        </is>
      </c>
      <c r="D5" s="5" t="n">
        <v>1</v>
      </c>
      <c r="E5" s="7" t="n">
        <v>40</v>
      </c>
      <c r="F5" s="5" t="inlineStr">
        <is>
          <t>Pix</t>
        </is>
      </c>
    </row>
    <row r="6" ht="18" customHeight="1">
      <c r="A6" s="2" t="inlineStr">
        <is>
          <t>18/05/2026 16:30</t>
        </is>
      </c>
      <c r="B6" s="3" t="inlineStr">
        <is>
          <t>Barba Completa</t>
        </is>
      </c>
      <c r="C6" s="2" t="inlineStr">
        <is>
          <t>Serviço</t>
        </is>
      </c>
      <c r="D6" s="2" t="n">
        <v>1</v>
      </c>
      <c r="E6" s="4" t="n">
        <v>25</v>
      </c>
      <c r="F6" s="2" t="inlineStr">
        <is>
          <t>Dinheiro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</cols>
  <sheetData>
    <row r="1"/>
    <row r="2" ht="25" customHeight="1">
      <c r="B2" s="10" t="inlineStr">
        <is>
          <t>DASHBOARD - FLUXO DA BARBEARIA</t>
        </is>
      </c>
    </row>
    <row r="3"/>
    <row r="4" ht="20" customHeight="1">
      <c r="B4" s="11" t="inlineStr">
        <is>
          <t>Indicador</t>
        </is>
      </c>
      <c r="C4" s="11" t="inlineStr">
        <is>
          <t>Resultado</t>
        </is>
      </c>
    </row>
    <row r="5" ht="20" customHeight="1">
      <c r="B5" s="6" t="inlineStr">
        <is>
          <t>Faturamento Total (R$)</t>
        </is>
      </c>
      <c r="C5" s="12">
        <f>SUM(Vendas!E:E)</f>
        <v/>
      </c>
    </row>
    <row r="6" ht="20" customHeight="1">
      <c r="B6" s="6" t="inlineStr">
        <is>
          <t>Total de Cortes/Serviços Realizados</t>
        </is>
      </c>
      <c r="C6" s="13">
        <f>COUNTIF(Vendas!C:C, "Serviço")</f>
        <v/>
      </c>
    </row>
    <row r="7" ht="20" customHeight="1">
      <c r="B7" s="6" t="inlineStr">
        <is>
          <t>Total de Produtos Vendidos</t>
        </is>
      </c>
      <c r="C7" s="13">
        <f>SUMIF(Vendas!C:C, "Produto", Vendas!D:D)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2026-05-19T01:42:37Z</dcterms:created>
  <dcterms:modified xmlns:dcterms="http://purl.org/dc/terms/" xmlns:xsi="http://www.w3.org/2001/XMLSchema-instance" xsi:type="dcterms:W3CDTF">2026-05-19T01:42:37Z</dcterms:modified>
</cp:coreProperties>
</file>